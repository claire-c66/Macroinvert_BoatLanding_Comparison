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ire\Documents\4 Carleton 4th Year\Thesis\"/>
    </mc:Choice>
  </mc:AlternateContent>
  <xr:revisionPtr revIDLastSave="0" documentId="13_ncr:1_{7B62F45A-1FAA-4198-BC8C-CE233AA337E3}" xr6:coauthVersionLast="47" xr6:coauthVersionMax="47" xr10:uidLastSave="{00000000-0000-0000-0000-000000000000}"/>
  <bookViews>
    <workbookView xWindow="28680" yWindow="-120" windowWidth="29040" windowHeight="15840" xr2:uid="{853ECF7D-1C47-4C26-A919-D5F2C07EFFA8}"/>
  </bookViews>
  <sheets>
    <sheet name="Sheet4" sheetId="4" r:id="rId1"/>
    <sheet name="Sheet1" sheetId="1" r:id="rId2"/>
    <sheet name="Sheet2" sheetId="2" r:id="rId3"/>
    <sheet name="Sheet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1" l="1"/>
  <c r="AB4" i="1"/>
  <c r="AB5" i="1"/>
  <c r="AB6" i="1"/>
  <c r="AB7" i="1"/>
  <c r="AB8" i="1"/>
  <c r="AB9" i="1"/>
  <c r="AB10" i="1"/>
  <c r="AB11" i="1"/>
  <c r="AB12" i="1"/>
  <c r="AB13" i="1"/>
  <c r="AB2" i="1"/>
  <c r="AA3" i="1"/>
  <c r="AA4" i="1"/>
  <c r="AA5" i="1"/>
  <c r="AA6" i="1"/>
  <c r="AA7" i="1"/>
  <c r="AA8" i="1"/>
  <c r="AA9" i="1"/>
  <c r="AA10" i="1"/>
  <c r="AA11" i="1"/>
  <c r="AA12" i="1"/>
  <c r="AA13" i="1"/>
  <c r="AA2" i="1"/>
  <c r="Z3" i="1"/>
  <c r="Z4" i="1"/>
  <c r="Z5" i="1"/>
  <c r="Z6" i="1"/>
  <c r="Z7" i="1"/>
  <c r="Z8" i="1"/>
  <c r="Z9" i="1"/>
  <c r="Z10" i="1"/>
  <c r="Z11" i="1"/>
  <c r="Z12" i="1"/>
  <c r="Z13" i="1"/>
  <c r="Z2" i="1"/>
  <c r="Y3" i="1"/>
  <c r="Y4" i="1"/>
  <c r="Y5" i="1"/>
  <c r="Y6" i="1"/>
  <c r="Y7" i="1"/>
  <c r="Y8" i="1"/>
  <c r="Y9" i="1"/>
  <c r="Y10" i="1"/>
  <c r="Y11" i="1"/>
  <c r="Y12" i="1"/>
  <c r="Y13" i="1"/>
  <c r="Y2" i="1"/>
  <c r="X3" i="1"/>
  <c r="X4" i="1"/>
  <c r="X5" i="1"/>
  <c r="X6" i="1"/>
  <c r="X7" i="1"/>
  <c r="X8" i="1"/>
  <c r="X9" i="1"/>
  <c r="X10" i="1"/>
  <c r="X11" i="1"/>
  <c r="X12" i="1"/>
  <c r="X13" i="1"/>
  <c r="X2" i="1"/>
  <c r="W3" i="1"/>
  <c r="W4" i="1"/>
  <c r="W5" i="1"/>
  <c r="W6" i="1"/>
  <c r="W7" i="1"/>
  <c r="W8" i="1"/>
  <c r="W9" i="1"/>
  <c r="W10" i="1"/>
  <c r="W11" i="1"/>
  <c r="W12" i="1"/>
  <c r="W13" i="1"/>
  <c r="W2" i="1"/>
  <c r="V3" i="1"/>
  <c r="V4" i="1"/>
  <c r="V5" i="1"/>
  <c r="V6" i="1"/>
  <c r="V7" i="1"/>
  <c r="V8" i="1"/>
  <c r="V9" i="1"/>
  <c r="V10" i="1"/>
  <c r="V11" i="1"/>
  <c r="V12" i="1"/>
  <c r="V13" i="1"/>
  <c r="V2" i="1"/>
  <c r="U3" i="1"/>
  <c r="U4" i="1"/>
  <c r="U5" i="1"/>
  <c r="U6" i="1"/>
  <c r="U7" i="1"/>
  <c r="U8" i="1"/>
  <c r="U9" i="1"/>
  <c r="U10" i="1"/>
  <c r="U11" i="1"/>
  <c r="U12" i="1"/>
  <c r="U13" i="1"/>
  <c r="U2" i="1"/>
  <c r="T3" i="1"/>
  <c r="T4" i="1"/>
  <c r="T5" i="1"/>
  <c r="T6" i="1"/>
  <c r="T7" i="1"/>
  <c r="T8" i="1"/>
  <c r="T9" i="1"/>
  <c r="T10" i="1"/>
  <c r="T11" i="1"/>
  <c r="T12" i="1"/>
  <c r="T13" i="1"/>
  <c r="T2" i="1"/>
  <c r="S3" i="1"/>
  <c r="S4" i="1"/>
  <c r="S5" i="1"/>
  <c r="S6" i="1"/>
  <c r="S7" i="1"/>
  <c r="S8" i="1"/>
  <c r="S9" i="1"/>
  <c r="S10" i="1"/>
  <c r="S11" i="1"/>
  <c r="S12" i="1"/>
  <c r="S13" i="1"/>
  <c r="S2" i="1"/>
  <c r="R3" i="1"/>
  <c r="R4" i="1"/>
  <c r="R5" i="1"/>
  <c r="R6" i="1"/>
  <c r="R7" i="1"/>
  <c r="R8" i="1"/>
  <c r="R9" i="1"/>
  <c r="R10" i="1"/>
  <c r="R11" i="1"/>
  <c r="R12" i="1"/>
  <c r="R13" i="1"/>
  <c r="R2" i="1"/>
  <c r="Q3" i="1"/>
  <c r="Q4" i="1"/>
  <c r="Q5" i="1"/>
  <c r="Q6" i="1"/>
  <c r="Q7" i="1"/>
  <c r="Q8" i="1"/>
  <c r="Q9" i="1"/>
  <c r="Q10" i="1"/>
  <c r="Q11" i="1"/>
  <c r="Q12" i="1"/>
  <c r="Q13" i="1"/>
  <c r="Q2" i="1"/>
  <c r="P3" i="1"/>
  <c r="P4" i="1"/>
  <c r="P5" i="1"/>
  <c r="P6" i="1"/>
  <c r="P7" i="1"/>
  <c r="P8" i="1"/>
  <c r="P9" i="1"/>
  <c r="P10" i="1"/>
  <c r="P11" i="1"/>
  <c r="P12" i="1"/>
  <c r="P13" i="1"/>
  <c r="P2" i="1"/>
  <c r="O3" i="1"/>
  <c r="O4" i="1"/>
  <c r="O5" i="1"/>
  <c r="O6" i="1"/>
  <c r="O7" i="1"/>
  <c r="O8" i="1"/>
  <c r="O9" i="1"/>
  <c r="O10" i="1"/>
  <c r="O11" i="1"/>
  <c r="O12" i="1"/>
  <c r="O13" i="1"/>
  <c r="O2" i="1"/>
  <c r="N3" i="1"/>
  <c r="N4" i="1"/>
  <c r="N5" i="1"/>
  <c r="N6" i="1"/>
  <c r="N7" i="1"/>
  <c r="N8" i="1"/>
  <c r="N9" i="1"/>
  <c r="N10" i="1"/>
  <c r="N11" i="1"/>
  <c r="N12" i="1"/>
  <c r="N13" i="1"/>
  <c r="N2" i="1"/>
  <c r="M3" i="1"/>
  <c r="M4" i="1"/>
  <c r="M5" i="1"/>
  <c r="M6" i="1"/>
  <c r="M7" i="1"/>
  <c r="M8" i="1"/>
  <c r="M9" i="1"/>
  <c r="M10" i="1"/>
  <c r="M11" i="1"/>
  <c r="M12" i="1"/>
  <c r="M13" i="1"/>
  <c r="M2" i="1"/>
  <c r="L3" i="1"/>
  <c r="L4" i="1"/>
  <c r="L5" i="1"/>
  <c r="L6" i="1"/>
  <c r="L7" i="1"/>
  <c r="L8" i="1"/>
  <c r="L9" i="1"/>
  <c r="L10" i="1"/>
  <c r="L11" i="1"/>
  <c r="L12" i="1"/>
  <c r="L13" i="1"/>
  <c r="L2" i="1"/>
  <c r="K3" i="1"/>
  <c r="K4" i="1"/>
  <c r="K5" i="1"/>
  <c r="K6" i="1"/>
  <c r="K7" i="1"/>
  <c r="K8" i="1"/>
  <c r="K9" i="1"/>
  <c r="K10" i="1"/>
  <c r="K11" i="1"/>
  <c r="K12" i="1"/>
  <c r="K13" i="1"/>
  <c r="K2" i="1"/>
  <c r="J3" i="1"/>
  <c r="J4" i="1"/>
  <c r="J5" i="1"/>
  <c r="J6" i="1"/>
  <c r="J7" i="1"/>
  <c r="J8" i="1"/>
  <c r="J9" i="1"/>
  <c r="J10" i="1"/>
  <c r="J11" i="1"/>
  <c r="J12" i="1"/>
  <c r="J13" i="1"/>
  <c r="J2" i="1"/>
  <c r="I3" i="1"/>
  <c r="I4" i="1"/>
  <c r="I5" i="1"/>
  <c r="I6" i="1"/>
  <c r="I7" i="1"/>
  <c r="I8" i="1"/>
  <c r="I9" i="1"/>
  <c r="I10" i="1"/>
  <c r="I11" i="1"/>
  <c r="I12" i="1"/>
  <c r="I13" i="1"/>
  <c r="I2" i="1"/>
  <c r="H3" i="1"/>
  <c r="H4" i="1"/>
  <c r="H5" i="1"/>
  <c r="H6" i="1"/>
  <c r="H7" i="1"/>
  <c r="H8" i="1"/>
  <c r="H9" i="1"/>
  <c r="H10" i="1"/>
  <c r="H11" i="1"/>
  <c r="H12" i="1"/>
  <c r="H13" i="1"/>
  <c r="H2" i="1"/>
  <c r="G3" i="1"/>
  <c r="G4" i="1"/>
  <c r="G5" i="1"/>
  <c r="G6" i="1"/>
  <c r="G7" i="1"/>
  <c r="G8" i="1"/>
  <c r="G9" i="1"/>
  <c r="G10" i="1"/>
  <c r="G11" i="1"/>
  <c r="G12" i="1"/>
  <c r="G13" i="1"/>
  <c r="G2" i="1"/>
  <c r="F3" i="1"/>
  <c r="F4" i="1"/>
  <c r="F5" i="1"/>
  <c r="F6" i="1"/>
  <c r="F7" i="1"/>
  <c r="F8" i="1"/>
  <c r="F9" i="1"/>
  <c r="F10" i="1"/>
  <c r="F11" i="1"/>
  <c r="F12" i="1"/>
  <c r="F13" i="1"/>
  <c r="F2" i="1"/>
  <c r="E3" i="1"/>
  <c r="E4" i="1"/>
  <c r="E5" i="1"/>
  <c r="E6" i="1"/>
  <c r="E7" i="1"/>
  <c r="E8" i="1"/>
  <c r="E9" i="1"/>
  <c r="E10" i="1"/>
  <c r="E11" i="1"/>
  <c r="E12" i="1"/>
  <c r="E13" i="1"/>
  <c r="E2" i="1"/>
  <c r="D3" i="1"/>
  <c r="D4" i="1"/>
  <c r="D5" i="1"/>
  <c r="D6" i="1"/>
  <c r="D7" i="1"/>
  <c r="D8" i="1"/>
  <c r="D9" i="1"/>
  <c r="D10" i="1"/>
  <c r="D11" i="1"/>
  <c r="D12" i="1"/>
  <c r="D13" i="1"/>
  <c r="D2" i="1"/>
  <c r="C3" i="1"/>
  <c r="C4" i="1"/>
  <c r="C5" i="1"/>
  <c r="C6" i="1"/>
  <c r="C7" i="1"/>
  <c r="C8" i="1"/>
  <c r="C9" i="1"/>
  <c r="C10" i="1"/>
  <c r="C11" i="1"/>
  <c r="C12" i="1"/>
  <c r="C13" i="1"/>
  <c r="C2" i="1"/>
  <c r="B3" i="1"/>
  <c r="B4" i="1"/>
  <c r="B5" i="1"/>
  <c r="B6" i="1"/>
  <c r="B7" i="1"/>
  <c r="B8" i="1"/>
  <c r="B9" i="1"/>
  <c r="B10" i="1"/>
  <c r="B11" i="1"/>
  <c r="B12" i="1"/>
  <c r="B13" i="1"/>
  <c r="B2" i="1"/>
</calcChain>
</file>

<file path=xl/sharedStrings.xml><?xml version="1.0" encoding="utf-8"?>
<sst xmlns="http://schemas.openxmlformats.org/spreadsheetml/2006/main" count="139" uniqueCount="49">
  <si>
    <t>site_ID</t>
  </si>
  <si>
    <t>oligochaeta</t>
  </si>
  <si>
    <t>hirudinea</t>
  </si>
  <si>
    <t>planorbidae</t>
  </si>
  <si>
    <t>hydrachnidia</t>
  </si>
  <si>
    <t>amphipoda</t>
  </si>
  <si>
    <t>cambaridae</t>
  </si>
  <si>
    <t>chironomidae</t>
  </si>
  <si>
    <t>ceratopogonidae</t>
  </si>
  <si>
    <t>chaoboridae</t>
  </si>
  <si>
    <t>corduliidae</t>
  </si>
  <si>
    <t>ephemeridae</t>
  </si>
  <si>
    <t>ephemera</t>
  </si>
  <si>
    <t>heptageniidae</t>
  </si>
  <si>
    <t>ephemerellidae</t>
  </si>
  <si>
    <t>leptophlebiidae</t>
  </si>
  <si>
    <t>caenidae</t>
  </si>
  <si>
    <t>metretopodidae</t>
  </si>
  <si>
    <t>sialis</t>
  </si>
  <si>
    <t>molannidae</t>
  </si>
  <si>
    <t>rhyacophilidae</t>
  </si>
  <si>
    <t>ostracoda</t>
  </si>
  <si>
    <t>cladocera</t>
  </si>
  <si>
    <t>copepoda</t>
  </si>
  <si>
    <t>laccophilus</t>
  </si>
  <si>
    <t>unknown_plecoptera</t>
  </si>
  <si>
    <t>leptoceridae</t>
  </si>
  <si>
    <t>sphaeriidae</t>
  </si>
  <si>
    <t>total</t>
  </si>
  <si>
    <t>CampSite_26_Control</t>
  </si>
  <si>
    <t>CampSite_26_BoatLanding</t>
  </si>
  <si>
    <t>CampSite_47C_Control</t>
  </si>
  <si>
    <t>CampSite_47C_BoatLanding</t>
  </si>
  <si>
    <t>Public_3_Control</t>
  </si>
  <si>
    <t>Public_3_BoatLanding</t>
  </si>
  <si>
    <t>Public_2_Control</t>
  </si>
  <si>
    <t>Public_2_BoatLanding</t>
  </si>
  <si>
    <t>CampSite_1_Control</t>
  </si>
  <si>
    <t>CampSite_1_BoatLanding</t>
  </si>
  <si>
    <t>Public_1_Control</t>
  </si>
  <si>
    <t>Public_1_BoatLanding</t>
  </si>
  <si>
    <t>taxa</t>
  </si>
  <si>
    <t>tolerance_score</t>
  </si>
  <si>
    <t>isopoda</t>
  </si>
  <si>
    <t>plecoptera_unknown</t>
  </si>
  <si>
    <t>HBI</t>
  </si>
  <si>
    <t>zone_type</t>
  </si>
  <si>
    <t>control</t>
  </si>
  <si>
    <t>boatlanding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</si>
</sst>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">
    <xf numFmtId="0" fontId="0" fillId="0" borderId="0" xfId="0"/>
    <xf numFmtId="0" fontId="1" fillId="0" borderId="0" xfId="1"/>
    <xf numFmtId="1" fontId="0" fillId="0" borderId="0" xfId="0" applyNumberFormat="1"/>
    <xf numFmtId="0" fontId="3" fillId="0" borderId="1" xfId="2" applyFont="1" applyBorder="1" applyAlignment="1">
      <alignment horizontal="right"/>
    </xf>
    <xf numFmtId="0" fontId="0" fillId="0" borderId="1" xfId="0" applyBorder="1"/>
    <xf numFmtId="0" fontId="3" fillId="0" borderId="0" xfId="2" applyFont="1" applyBorder="1" applyAlignment="1">
      <alignment horizontal="right"/>
    </xf>
  </cellXfs>
  <cellStyles count="3">
    <cellStyle name="Normal" xfId="0" builtinId="0"/>
    <cellStyle name="Normal 2" xfId="1" xr:uid="{86D8E4B0-0A41-4A00-A931-54EACEDA9878}"/>
    <cellStyle name="Normal_Feuil2" xfId="2" xr:uid="{05610853-9BA9-405A-938D-3A22A8CEF2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7E3A8-00BB-4CF5-96F1-BF03970DDDAC}">
  <dimension ref="A1:AB13"/>
  <sheetViews>
    <sheetView tabSelected="1" zoomScale="70" zoomScaleNormal="70" workbookViewId="0">
      <selection activeCell="A13" sqref="A2:A13"/>
    </sheetView>
  </sheetViews>
  <sheetFormatPr defaultRowHeight="14.75" x14ac:dyDescent="0.75"/>
  <cols>
    <col min="1" max="1" width="28.26953125" bestFit="1" customWidth="1"/>
    <col min="2" max="2" width="11.2265625" bestFit="1" customWidth="1"/>
    <col min="3" max="3" width="9.1796875" bestFit="1" customWidth="1"/>
    <col min="4" max="4" width="11.36328125" bestFit="1" customWidth="1"/>
    <col min="5" max="5" width="12.453125" bestFit="1" customWidth="1"/>
    <col min="6" max="6" width="10.81640625" bestFit="1" customWidth="1"/>
    <col min="7" max="7" width="11.5" bestFit="1" customWidth="1"/>
    <col min="8" max="8" width="13.26953125" bestFit="1" customWidth="1"/>
    <col min="9" max="9" width="15.86328125" bestFit="1" customWidth="1"/>
    <col min="10" max="10" width="11.90625" bestFit="1" customWidth="1"/>
    <col min="11" max="11" width="10.81640625" bestFit="1" customWidth="1"/>
    <col min="12" max="12" width="12.7265625" bestFit="1" customWidth="1"/>
    <col min="13" max="13" width="9.86328125" bestFit="1" customWidth="1"/>
    <col min="14" max="14" width="13.54296875" bestFit="1" customWidth="1"/>
    <col min="15" max="15" width="14.90625" bestFit="1" customWidth="1"/>
    <col min="16" max="16" width="14.76953125" bestFit="1" customWidth="1"/>
    <col min="17" max="17" width="9.04296875" bestFit="1" customWidth="1"/>
    <col min="18" max="18" width="15.1796875" bestFit="1" customWidth="1"/>
    <col min="19" max="19" width="5.5" bestFit="1" customWidth="1"/>
    <col min="20" max="20" width="11.36328125" bestFit="1" customWidth="1"/>
    <col min="21" max="21" width="14.08984375" bestFit="1" customWidth="1"/>
    <col min="22" max="23" width="9.7265625" bestFit="1" customWidth="1"/>
    <col min="24" max="24" width="9.58984375" bestFit="1" customWidth="1"/>
    <col min="25" max="25" width="11.08984375" bestFit="1" customWidth="1"/>
    <col min="26" max="26" width="19.54296875" bestFit="1" customWidth="1"/>
    <col min="27" max="27" width="12.04296875" bestFit="1" customWidth="1"/>
    <col min="28" max="28" width="11.2265625" bestFit="1" customWidth="1"/>
  </cols>
  <sheetData>
    <row r="1" spans="1:28" ht="16" x14ac:dyDescent="0.8">
      <c r="A1" s="1" t="s">
        <v>0</v>
      </c>
      <c r="B1" t="s">
        <v>46</v>
      </c>
      <c r="C1" s="1" t="s">
        <v>45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75">
      <c r="A2" t="s">
        <v>29</v>
      </c>
      <c r="B2" t="s">
        <v>47</v>
      </c>
      <c r="C2">
        <v>6.6744868035190619</v>
      </c>
    </row>
    <row r="3" spans="1:28" x14ac:dyDescent="0.75">
      <c r="A3" t="s">
        <v>30</v>
      </c>
      <c r="B3" t="s">
        <v>48</v>
      </c>
      <c r="C3">
        <v>6.9186991869918701</v>
      </c>
    </row>
    <row r="4" spans="1:28" x14ac:dyDescent="0.75">
      <c r="A4" t="s">
        <v>31</v>
      </c>
      <c r="B4" t="s">
        <v>47</v>
      </c>
      <c r="C4">
        <v>7.9241071428571432</v>
      </c>
    </row>
    <row r="5" spans="1:28" x14ac:dyDescent="0.75">
      <c r="A5" t="s">
        <v>32</v>
      </c>
      <c r="B5" t="s">
        <v>48</v>
      </c>
      <c r="C5">
        <v>7.2735849056603765</v>
      </c>
    </row>
    <row r="6" spans="1:28" x14ac:dyDescent="0.75">
      <c r="A6" t="s">
        <v>33</v>
      </c>
      <c r="B6" t="s">
        <v>47</v>
      </c>
      <c r="C6">
        <v>5.3666666666666663</v>
      </c>
    </row>
    <row r="7" spans="1:28" x14ac:dyDescent="0.75">
      <c r="A7" t="s">
        <v>34</v>
      </c>
      <c r="B7" t="s">
        <v>48</v>
      </c>
      <c r="C7">
        <v>5.7436708860759493</v>
      </c>
    </row>
    <row r="8" spans="1:28" x14ac:dyDescent="0.75">
      <c r="A8" t="s">
        <v>35</v>
      </c>
      <c r="B8" t="s">
        <v>47</v>
      </c>
      <c r="C8">
        <v>5.4203980099502491</v>
      </c>
    </row>
    <row r="9" spans="1:28" x14ac:dyDescent="0.75">
      <c r="A9" t="s">
        <v>36</v>
      </c>
      <c r="B9" t="s">
        <v>48</v>
      </c>
      <c r="C9">
        <v>5.359340659340659</v>
      </c>
    </row>
    <row r="10" spans="1:28" x14ac:dyDescent="0.75">
      <c r="A10" t="s">
        <v>37</v>
      </c>
      <c r="B10" t="s">
        <v>47</v>
      </c>
      <c r="C10">
        <v>7.1571125265392785</v>
      </c>
    </row>
    <row r="11" spans="1:28" x14ac:dyDescent="0.75">
      <c r="A11" t="s">
        <v>38</v>
      </c>
      <c r="B11" t="s">
        <v>48</v>
      </c>
      <c r="C11">
        <v>6.5644699140401146</v>
      </c>
    </row>
    <row r="12" spans="1:28" x14ac:dyDescent="0.75">
      <c r="A12" t="s">
        <v>39</v>
      </c>
      <c r="B12" t="s">
        <v>47</v>
      </c>
      <c r="C12">
        <v>6.6950904392764858</v>
      </c>
    </row>
    <row r="13" spans="1:28" x14ac:dyDescent="0.75">
      <c r="A13" t="s">
        <v>40</v>
      </c>
      <c r="B13" t="s">
        <v>48</v>
      </c>
      <c r="C13">
        <v>7.1137440758293842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1E8D5-92AC-4728-A123-48D6AD78636E}">
  <dimension ref="A1:AC13"/>
  <sheetViews>
    <sheetView topLeftCell="E1" zoomScale="70" zoomScaleNormal="70" workbookViewId="0">
      <selection activeCell="Q26" sqref="Q26"/>
    </sheetView>
  </sheetViews>
  <sheetFormatPr defaultRowHeight="14.75" x14ac:dyDescent="0.75"/>
  <cols>
    <col min="1" max="1" width="25.1328125" bestFit="1" customWidth="1"/>
    <col min="2" max="2" width="11.2265625" bestFit="1" customWidth="1"/>
    <col min="3" max="3" width="9.1796875" bestFit="1" customWidth="1"/>
    <col min="4" max="4" width="11.36328125" bestFit="1" customWidth="1"/>
    <col min="5" max="5" width="12.453125" bestFit="1" customWidth="1"/>
    <col min="6" max="6" width="10.81640625" bestFit="1" customWidth="1"/>
    <col min="7" max="7" width="11.5" bestFit="1" customWidth="1"/>
    <col min="8" max="8" width="13.26953125" bestFit="1" customWidth="1"/>
    <col min="9" max="9" width="15.86328125" bestFit="1" customWidth="1"/>
    <col min="10" max="10" width="11.90625" bestFit="1" customWidth="1"/>
    <col min="11" max="11" width="10.81640625" bestFit="1" customWidth="1"/>
    <col min="12" max="12" width="12.7265625" bestFit="1" customWidth="1"/>
    <col min="13" max="13" width="9.86328125" bestFit="1" customWidth="1"/>
    <col min="14" max="14" width="13.54296875" bestFit="1" customWidth="1"/>
    <col min="15" max="15" width="14.90625" bestFit="1" customWidth="1"/>
    <col min="16" max="16" width="14.76953125" bestFit="1" customWidth="1"/>
    <col min="18" max="18" width="15.1796875" bestFit="1" customWidth="1"/>
    <col min="20" max="20" width="11.36328125" bestFit="1" customWidth="1"/>
    <col min="21" max="21" width="14.08984375" bestFit="1" customWidth="1"/>
    <col min="22" max="23" width="9.7265625" bestFit="1" customWidth="1"/>
    <col min="24" max="24" width="9.58984375" bestFit="1" customWidth="1"/>
    <col min="25" max="25" width="11.08984375" bestFit="1" customWidth="1"/>
    <col min="26" max="26" width="19.54296875" bestFit="1" customWidth="1"/>
    <col min="27" max="27" width="12.04296875" bestFit="1" customWidth="1"/>
    <col min="28" max="28" width="11.2265625" bestFit="1" customWidth="1"/>
  </cols>
  <sheetData>
    <row r="1" spans="1:29" ht="16" x14ac:dyDescent="0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75">
      <c r="A2" t="s">
        <v>29</v>
      </c>
      <c r="B2" s="2">
        <f>Sheet2!B2*Sheet3!$B$23</f>
        <v>4160</v>
      </c>
      <c r="C2" s="2">
        <f>Sheet2!C2*Sheet3!$B$15</f>
        <v>0</v>
      </c>
      <c r="D2" s="2">
        <f>Sheet2!D2*Sheet3!$B$25</f>
        <v>48</v>
      </c>
      <c r="E2" s="2">
        <f>Sheet2!E2*Sheet3!$B$16</f>
        <v>48</v>
      </c>
      <c r="F2" s="2">
        <f>Sheet2!F2*Sheet3!$B$2</f>
        <v>8624</v>
      </c>
      <c r="G2" s="2">
        <f>Sheet2!G2*Sheet3!$B$4</f>
        <v>96</v>
      </c>
      <c r="H2" s="2">
        <f>Sheet2!H2*Sheet3!$B$7</f>
        <v>1344</v>
      </c>
      <c r="I2" s="2">
        <f>Sheet2!I2*Sheet3!$B$5</f>
        <v>48</v>
      </c>
      <c r="J2" s="2">
        <f>Sheet2!J2*Sheet3!$B$6</f>
        <v>0</v>
      </c>
      <c r="K2" s="2">
        <f>Sheet2!K2*Sheet3!$B$10</f>
        <v>200</v>
      </c>
      <c r="L2" s="2">
        <f>Sheet2!L2*Sheet3!$B$13</f>
        <v>576</v>
      </c>
      <c r="M2" s="2">
        <f>Sheet2!M2*Sheet3!$B$11</f>
        <v>0</v>
      </c>
      <c r="N2" s="2">
        <f>Sheet2!N2*Sheet3!$B$14</f>
        <v>512</v>
      </c>
      <c r="O2" s="2">
        <f>Sheet2!O2*Sheet3!$B$12</f>
        <v>104</v>
      </c>
      <c r="P2" s="2">
        <f>Sheet2!P2*Sheet3!$B$20</f>
        <v>96</v>
      </c>
      <c r="Q2" s="2">
        <f>Sheet2!Q2*Sheet3!$B$3</f>
        <v>0</v>
      </c>
      <c r="R2" s="2">
        <f>Sheet2!R2*Sheet3!$B$21</f>
        <v>0</v>
      </c>
      <c r="S2" s="2">
        <f>Sheet2!S2*Sheet3!$B$28</f>
        <v>0</v>
      </c>
      <c r="T2" s="2">
        <f>Sheet2!T2*Sheet3!$B$22</f>
        <v>48</v>
      </c>
      <c r="U2" s="2">
        <f>Sheet2!U2*Sheet3!$B$27</f>
        <v>0</v>
      </c>
      <c r="V2" s="2">
        <f>Sheet2!V2*Sheet3!$B$24</f>
        <v>64</v>
      </c>
      <c r="W2" s="2">
        <f>Sheet2!W2*Sheet3!$B$8</f>
        <v>2240</v>
      </c>
      <c r="X2" s="2">
        <f>Sheet2!X2*Sheet3!$B$9</f>
        <v>0</v>
      </c>
      <c r="Y2" s="2">
        <f>Sheet2!Y2*Sheet3!$B$18</f>
        <v>0</v>
      </c>
      <c r="Z2" s="2">
        <f>Sheet2!Z2*Sheet3!$B$26</f>
        <v>0</v>
      </c>
      <c r="AA2" s="2">
        <f>Sheet2!AA2*Sheet3!$B$19</f>
        <v>0</v>
      </c>
      <c r="AB2" s="2">
        <f>Sheet2!AB2*Sheet3!$B$29</f>
        <v>0</v>
      </c>
      <c r="AC2" s="2">
        <v>2728</v>
      </c>
    </row>
    <row r="3" spans="1:29" x14ac:dyDescent="0.75">
      <c r="A3" t="s">
        <v>30</v>
      </c>
      <c r="B3" s="2">
        <f>Sheet2!B3*Sheet3!$B$23</f>
        <v>1344</v>
      </c>
      <c r="C3" s="2">
        <f>Sheet2!C3*Sheet3!$B$15</f>
        <v>0</v>
      </c>
      <c r="D3" s="2">
        <f>Sheet2!D3*Sheet3!$B$25</f>
        <v>0</v>
      </c>
      <c r="E3" s="2">
        <f>Sheet2!E3*Sheet3!$B$16</f>
        <v>0</v>
      </c>
      <c r="F3" s="2">
        <f>Sheet2!F3*Sheet3!$B$2</f>
        <v>2478</v>
      </c>
      <c r="G3" s="2">
        <f>Sheet2!G3*Sheet3!$B$4</f>
        <v>0</v>
      </c>
      <c r="H3" s="2">
        <f>Sheet2!H3*Sheet3!$B$7</f>
        <v>432</v>
      </c>
      <c r="I3" s="2">
        <f>Sheet2!I3*Sheet3!$B$5</f>
        <v>0</v>
      </c>
      <c r="J3" s="2">
        <f>Sheet2!J3*Sheet3!$B$6</f>
        <v>0</v>
      </c>
      <c r="K3" s="2">
        <f>Sheet2!K3*Sheet3!$B$10</f>
        <v>15</v>
      </c>
      <c r="L3" s="2">
        <f>Sheet2!L3*Sheet3!$B$13</f>
        <v>12</v>
      </c>
      <c r="M3" s="2">
        <f>Sheet2!M3*Sheet3!$B$11</f>
        <v>0</v>
      </c>
      <c r="N3" s="2">
        <f>Sheet2!N3*Sheet3!$B$14</f>
        <v>228</v>
      </c>
      <c r="O3" s="2">
        <f>Sheet2!O3*Sheet3!$B$12</f>
        <v>18</v>
      </c>
      <c r="P3" s="2">
        <f>Sheet2!P3*Sheet3!$B$20</f>
        <v>6</v>
      </c>
      <c r="Q3" s="2">
        <f>Sheet2!Q3*Sheet3!$B$3</f>
        <v>0</v>
      </c>
      <c r="R3" s="2">
        <f>Sheet2!R3*Sheet3!$B$21</f>
        <v>0</v>
      </c>
      <c r="S3" s="2">
        <f>Sheet2!S3*Sheet3!$B$28</f>
        <v>0</v>
      </c>
      <c r="T3" s="2">
        <f>Sheet2!T3*Sheet3!$B$22</f>
        <v>0</v>
      </c>
      <c r="U3" s="2">
        <f>Sheet2!U3*Sheet3!$B$27</f>
        <v>0</v>
      </c>
      <c r="V3" s="2">
        <f>Sheet2!V3*Sheet3!$B$24</f>
        <v>0</v>
      </c>
      <c r="W3" s="2">
        <f>Sheet2!W3*Sheet3!$B$8</f>
        <v>528</v>
      </c>
      <c r="X3" s="2">
        <f>Sheet2!X3*Sheet3!$B$9</f>
        <v>0</v>
      </c>
      <c r="Y3" s="2">
        <f>Sheet2!Y3*Sheet3!$B$18</f>
        <v>30</v>
      </c>
      <c r="Z3" s="2">
        <f>Sheet2!Z3*Sheet3!$B$26</f>
        <v>3</v>
      </c>
      <c r="AA3" s="2">
        <f>Sheet2!AA3*Sheet3!$B$19</f>
        <v>12</v>
      </c>
      <c r="AB3" s="2">
        <f>Sheet2!AB3*Sheet3!$B$29</f>
        <v>0</v>
      </c>
      <c r="AC3" s="2">
        <v>738</v>
      </c>
    </row>
    <row r="4" spans="1:29" x14ac:dyDescent="0.75">
      <c r="A4" t="s">
        <v>31</v>
      </c>
      <c r="B4" s="2">
        <f>Sheet2!B4*Sheet3!$B$23</f>
        <v>4416</v>
      </c>
      <c r="C4" s="2">
        <f>Sheet2!C4*Sheet3!$B$15</f>
        <v>0</v>
      </c>
      <c r="D4" s="2">
        <f>Sheet2!D4*Sheet3!$B$25</f>
        <v>0</v>
      </c>
      <c r="E4" s="2">
        <f>Sheet2!E4*Sheet3!$B$16</f>
        <v>0</v>
      </c>
      <c r="F4" s="2">
        <f>Sheet2!F4*Sheet3!$B$2</f>
        <v>84</v>
      </c>
      <c r="G4" s="2">
        <f>Sheet2!G4*Sheet3!$B$4</f>
        <v>0</v>
      </c>
      <c r="H4" s="2">
        <f>Sheet2!H4*Sheet3!$B$7</f>
        <v>608</v>
      </c>
      <c r="I4" s="2">
        <f>Sheet2!I4*Sheet3!$B$5</f>
        <v>24</v>
      </c>
      <c r="J4" s="2">
        <f>Sheet2!J4*Sheet3!$B$6</f>
        <v>0</v>
      </c>
      <c r="K4" s="2">
        <f>Sheet2!K4*Sheet3!$B$10</f>
        <v>20</v>
      </c>
      <c r="L4" s="2">
        <f>Sheet2!L4*Sheet3!$B$13</f>
        <v>0</v>
      </c>
      <c r="M4" s="2">
        <f>Sheet2!M4*Sheet3!$B$11</f>
        <v>0</v>
      </c>
      <c r="N4" s="2">
        <f>Sheet2!N4*Sheet3!$B$14</f>
        <v>0</v>
      </c>
      <c r="O4" s="2">
        <f>Sheet2!O4*Sheet3!$B$12</f>
        <v>4</v>
      </c>
      <c r="P4" s="2">
        <f>Sheet2!P4*Sheet3!$B$20</f>
        <v>0</v>
      </c>
      <c r="Q4" s="2">
        <f>Sheet2!Q4*Sheet3!$B$3</f>
        <v>0</v>
      </c>
      <c r="R4" s="2">
        <f>Sheet2!R4*Sheet3!$B$21</f>
        <v>0</v>
      </c>
      <c r="S4" s="2">
        <f>Sheet2!S4*Sheet3!$B$28</f>
        <v>0</v>
      </c>
      <c r="T4" s="2">
        <f>Sheet2!T4*Sheet3!$B$22</f>
        <v>0</v>
      </c>
      <c r="U4" s="2">
        <f>Sheet2!U4*Sheet3!$B$27</f>
        <v>0</v>
      </c>
      <c r="V4" s="2">
        <f>Sheet2!V4*Sheet3!$B$24</f>
        <v>0</v>
      </c>
      <c r="W4" s="2">
        <f>Sheet2!W4*Sheet3!$B$8</f>
        <v>1824</v>
      </c>
      <c r="X4" s="2">
        <f>Sheet2!X4*Sheet3!$B$9</f>
        <v>96</v>
      </c>
      <c r="Y4" s="2">
        <f>Sheet2!Y4*Sheet3!$B$18</f>
        <v>0</v>
      </c>
      <c r="Z4" s="2">
        <f>Sheet2!Z4*Sheet3!$B$26</f>
        <v>0</v>
      </c>
      <c r="AA4" s="2">
        <f>Sheet2!AA4*Sheet3!$B$19</f>
        <v>0</v>
      </c>
      <c r="AB4" s="2">
        <f>Sheet2!AB4*Sheet3!$B$29</f>
        <v>24</v>
      </c>
      <c r="AC4" s="2">
        <v>896</v>
      </c>
    </row>
    <row r="5" spans="1:29" x14ac:dyDescent="0.75">
      <c r="A5" t="s">
        <v>32</v>
      </c>
      <c r="B5" s="2">
        <f>Sheet2!B5*Sheet3!$B$23</f>
        <v>1344</v>
      </c>
      <c r="C5" s="2">
        <f>Sheet2!C5*Sheet3!$B$15</f>
        <v>0</v>
      </c>
      <c r="D5" s="2">
        <f>Sheet2!D5*Sheet3!$B$25</f>
        <v>0</v>
      </c>
      <c r="E5" s="2">
        <f>Sheet2!E5*Sheet3!$B$16</f>
        <v>0</v>
      </c>
      <c r="F5" s="2">
        <f>Sheet2!F5*Sheet3!$B$2</f>
        <v>3427.2</v>
      </c>
      <c r="G5" s="2">
        <f>Sheet2!G5*Sheet3!$B$4</f>
        <v>28.800000000000004</v>
      </c>
      <c r="H5" s="2">
        <f>Sheet2!H5*Sheet3!$B$7</f>
        <v>1152</v>
      </c>
      <c r="I5" s="2">
        <f>Sheet2!I5*Sheet3!$B$5</f>
        <v>28.800000000000004</v>
      </c>
      <c r="J5" s="2">
        <f>Sheet2!J5*Sheet3!$B$6</f>
        <v>0</v>
      </c>
      <c r="K5" s="2">
        <f>Sheet2!K5*Sheet3!$B$10</f>
        <v>0</v>
      </c>
      <c r="L5" s="2">
        <f>Sheet2!L5*Sheet3!$B$13</f>
        <v>0</v>
      </c>
      <c r="M5" s="2">
        <f>Sheet2!M5*Sheet3!$B$11</f>
        <v>0</v>
      </c>
      <c r="N5" s="2">
        <f>Sheet2!N5*Sheet3!$B$14</f>
        <v>38.400000000000006</v>
      </c>
      <c r="O5" s="2">
        <f>Sheet2!O5*Sheet3!$B$12</f>
        <v>19.200000000000003</v>
      </c>
      <c r="P5" s="2">
        <f>Sheet2!P5*Sheet3!$B$20</f>
        <v>19.200000000000003</v>
      </c>
      <c r="Q5" s="2">
        <f>Sheet2!Q5*Sheet3!$B$3</f>
        <v>0</v>
      </c>
      <c r="R5" s="2">
        <f>Sheet2!R5*Sheet3!$B$21</f>
        <v>0</v>
      </c>
      <c r="S5" s="2">
        <f>Sheet2!S5*Sheet3!$B$28</f>
        <v>0</v>
      </c>
      <c r="T5" s="2">
        <f>Sheet2!T5*Sheet3!$B$22</f>
        <v>0</v>
      </c>
      <c r="U5" s="2">
        <f>Sheet2!U5*Sheet3!$B$27</f>
        <v>0</v>
      </c>
      <c r="V5" s="2">
        <f>Sheet2!V5*Sheet3!$B$24</f>
        <v>0</v>
      </c>
      <c r="W5" s="2">
        <f>Sheet2!W5*Sheet3!$B$8</f>
        <v>1305.5999999999999</v>
      </c>
      <c r="X5" s="2">
        <f>Sheet2!X5*Sheet3!$B$9</f>
        <v>38.400000000000006</v>
      </c>
      <c r="Y5" s="2">
        <f>Sheet2!Y5*Sheet3!$B$18</f>
        <v>0</v>
      </c>
      <c r="Z5" s="2">
        <f>Sheet2!Z5*Sheet3!$B$26</f>
        <v>0</v>
      </c>
      <c r="AA5" s="2">
        <f>Sheet2!AA5*Sheet3!$B$19</f>
        <v>0</v>
      </c>
      <c r="AB5" s="2">
        <f>Sheet2!AB5*Sheet3!$B$29</f>
        <v>0</v>
      </c>
      <c r="AC5" s="2">
        <v>1017.5999999999999</v>
      </c>
    </row>
    <row r="6" spans="1:29" x14ac:dyDescent="0.75">
      <c r="A6" t="s">
        <v>33</v>
      </c>
      <c r="B6" s="2">
        <f>Sheet2!B6*Sheet3!$B$23</f>
        <v>1392</v>
      </c>
      <c r="C6" s="2">
        <f>Sheet2!C6*Sheet3!$B$15</f>
        <v>0</v>
      </c>
      <c r="D6" s="2">
        <f>Sheet2!D6*Sheet3!$B$25</f>
        <v>0</v>
      </c>
      <c r="E6" s="2">
        <f>Sheet2!E6*Sheet3!$B$16</f>
        <v>108</v>
      </c>
      <c r="F6" s="2">
        <f>Sheet2!F6*Sheet3!$B$2</f>
        <v>1218</v>
      </c>
      <c r="G6" s="2">
        <f>Sheet2!G6*Sheet3!$B$4</f>
        <v>0</v>
      </c>
      <c r="H6" s="2">
        <f>Sheet2!H6*Sheet3!$B$7</f>
        <v>2640</v>
      </c>
      <c r="I6" s="2">
        <f>Sheet2!I6*Sheet3!$B$5</f>
        <v>0</v>
      </c>
      <c r="J6" s="2">
        <f>Sheet2!J6*Sheet3!$B$6</f>
        <v>0</v>
      </c>
      <c r="K6" s="2">
        <f>Sheet2!K6*Sheet3!$B$10</f>
        <v>30</v>
      </c>
      <c r="L6" s="2">
        <f>Sheet2!L6*Sheet3!$B$13</f>
        <v>0</v>
      </c>
      <c r="M6" s="2">
        <f>Sheet2!M6*Sheet3!$B$11</f>
        <v>48</v>
      </c>
      <c r="N6" s="2">
        <f>Sheet2!N6*Sheet3!$B$14</f>
        <v>168</v>
      </c>
      <c r="O6" s="2">
        <f>Sheet2!O6*Sheet3!$B$12</f>
        <v>432</v>
      </c>
      <c r="P6" s="2">
        <f>Sheet2!P6*Sheet3!$B$20</f>
        <v>216</v>
      </c>
      <c r="Q6" s="2">
        <f>Sheet2!Q6*Sheet3!$B$3</f>
        <v>0</v>
      </c>
      <c r="R6" s="2">
        <f>Sheet2!R6*Sheet3!$B$21</f>
        <v>0</v>
      </c>
      <c r="S6" s="2">
        <f>Sheet2!S6*Sheet3!$B$28</f>
        <v>0</v>
      </c>
      <c r="T6" s="2">
        <f>Sheet2!T6*Sheet3!$B$22</f>
        <v>0</v>
      </c>
      <c r="U6" s="2">
        <f>Sheet2!U6*Sheet3!$B$27</f>
        <v>0</v>
      </c>
      <c r="V6" s="2">
        <f>Sheet2!V6*Sheet3!$B$24</f>
        <v>48</v>
      </c>
      <c r="W6" s="2">
        <f>Sheet2!W6*Sheet3!$B$8</f>
        <v>2304</v>
      </c>
      <c r="X6" s="2">
        <f>Sheet2!X6*Sheet3!$B$9</f>
        <v>0</v>
      </c>
      <c r="Y6" s="2">
        <f>Sheet2!Y6*Sheet3!$B$18</f>
        <v>90</v>
      </c>
      <c r="Z6" s="2">
        <f>Sheet2!Z6*Sheet3!$B$26</f>
        <v>0</v>
      </c>
      <c r="AA6" s="2">
        <f>Sheet2!AA6*Sheet3!$B$19</f>
        <v>0</v>
      </c>
      <c r="AB6" s="2">
        <f>Sheet2!AB6*Sheet3!$B$29</f>
        <v>0</v>
      </c>
      <c r="AC6" s="2">
        <v>1620</v>
      </c>
    </row>
    <row r="7" spans="1:29" x14ac:dyDescent="0.75">
      <c r="A7" t="s">
        <v>34</v>
      </c>
      <c r="B7" s="2">
        <f>Sheet2!B7*Sheet3!$B$23</f>
        <v>928</v>
      </c>
      <c r="C7" s="2">
        <f>Sheet2!C7*Sheet3!$B$15</f>
        <v>0</v>
      </c>
      <c r="D7" s="2">
        <f>Sheet2!D7*Sheet3!$B$25</f>
        <v>0</v>
      </c>
      <c r="E7" s="2">
        <f>Sheet2!E7*Sheet3!$B$16</f>
        <v>24</v>
      </c>
      <c r="F7" s="2">
        <f>Sheet2!F7*Sheet3!$B$2</f>
        <v>196</v>
      </c>
      <c r="G7" s="2">
        <f>Sheet2!G7*Sheet3!$B$4</f>
        <v>12</v>
      </c>
      <c r="H7" s="2">
        <f>Sheet2!H7*Sheet3!$B$7</f>
        <v>216</v>
      </c>
      <c r="I7" s="2">
        <f>Sheet2!I7*Sheet3!$B$5</f>
        <v>0</v>
      </c>
      <c r="J7" s="2">
        <f>Sheet2!J7*Sheet3!$B$6</f>
        <v>0</v>
      </c>
      <c r="K7" s="2">
        <f>Sheet2!K7*Sheet3!$B$10</f>
        <v>0</v>
      </c>
      <c r="L7" s="2">
        <f>Sheet2!L7*Sheet3!$B$13</f>
        <v>0</v>
      </c>
      <c r="M7" s="2">
        <f>Sheet2!M7*Sheet3!$B$11</f>
        <v>0</v>
      </c>
      <c r="N7" s="2">
        <f>Sheet2!N7*Sheet3!$B$14</f>
        <v>144</v>
      </c>
      <c r="O7" s="2">
        <f>Sheet2!O7*Sheet3!$B$12</f>
        <v>31</v>
      </c>
      <c r="P7" s="2">
        <f>Sheet2!P7*Sheet3!$B$20</f>
        <v>102</v>
      </c>
      <c r="Q7" s="2">
        <f>Sheet2!Q7*Sheet3!$B$3</f>
        <v>0</v>
      </c>
      <c r="R7" s="2">
        <f>Sheet2!R7*Sheet3!$B$21</f>
        <v>0</v>
      </c>
      <c r="S7" s="2">
        <f>Sheet2!S7*Sheet3!$B$28</f>
        <v>0</v>
      </c>
      <c r="T7" s="2">
        <f>Sheet2!T7*Sheet3!$B$22</f>
        <v>0</v>
      </c>
      <c r="U7" s="2">
        <f>Sheet2!U7*Sheet3!$B$27</f>
        <v>0</v>
      </c>
      <c r="V7" s="2">
        <f>Sheet2!V7*Sheet3!$B$24</f>
        <v>8</v>
      </c>
      <c r="W7" s="2">
        <f>Sheet2!W7*Sheet3!$B$8</f>
        <v>120</v>
      </c>
      <c r="X7" s="2">
        <f>Sheet2!X7*Sheet3!$B$9</f>
        <v>24</v>
      </c>
      <c r="Y7" s="2">
        <f>Sheet2!Y7*Sheet3!$B$18</f>
        <v>10</v>
      </c>
      <c r="Z7" s="2">
        <f>Sheet2!Z7*Sheet3!$B$26</f>
        <v>0</v>
      </c>
      <c r="AA7" s="2">
        <f>Sheet2!AA7*Sheet3!$B$19</f>
        <v>0</v>
      </c>
      <c r="AB7" s="2">
        <f>Sheet2!AB7*Sheet3!$B$29</f>
        <v>0</v>
      </c>
      <c r="AC7" s="2">
        <v>316</v>
      </c>
    </row>
    <row r="8" spans="1:29" x14ac:dyDescent="0.75">
      <c r="A8" t="s">
        <v>35</v>
      </c>
      <c r="B8" s="2">
        <f>Sheet2!B8*Sheet3!$B$23</f>
        <v>3744</v>
      </c>
      <c r="C8" s="2">
        <f>Sheet2!C8*Sheet3!$B$15</f>
        <v>0</v>
      </c>
      <c r="D8" s="2">
        <f>Sheet2!D8*Sheet3!$B$25</f>
        <v>0</v>
      </c>
      <c r="E8" s="2">
        <f>Sheet2!E8*Sheet3!$B$16</f>
        <v>36</v>
      </c>
      <c r="F8" s="2">
        <f>Sheet2!F8*Sheet3!$B$2</f>
        <v>756</v>
      </c>
      <c r="G8" s="2">
        <f>Sheet2!G8*Sheet3!$B$4</f>
        <v>108</v>
      </c>
      <c r="H8" s="2">
        <f>Sheet2!H8*Sheet3!$B$7</f>
        <v>3120</v>
      </c>
      <c r="I8" s="2">
        <f>Sheet2!I8*Sheet3!$B$5</f>
        <v>144</v>
      </c>
      <c r="J8" s="2">
        <f>Sheet2!J8*Sheet3!$B$6</f>
        <v>0</v>
      </c>
      <c r="K8" s="2">
        <f>Sheet2!K8*Sheet3!$B$10</f>
        <v>0</v>
      </c>
      <c r="L8" s="2">
        <f>Sheet2!L8*Sheet3!$B$13</f>
        <v>0</v>
      </c>
      <c r="M8" s="2">
        <f>Sheet2!M8*Sheet3!$B$11</f>
        <v>0</v>
      </c>
      <c r="N8" s="2">
        <f>Sheet2!N8*Sheet3!$B$14</f>
        <v>1392</v>
      </c>
      <c r="O8" s="2">
        <f>Sheet2!O8*Sheet3!$B$12</f>
        <v>648</v>
      </c>
      <c r="P8" s="2">
        <f>Sheet2!P8*Sheet3!$B$20</f>
        <v>12</v>
      </c>
      <c r="Q8" s="2">
        <f>Sheet2!Q8*Sheet3!$B$3</f>
        <v>0</v>
      </c>
      <c r="R8" s="2">
        <f>Sheet2!R8*Sheet3!$B$21</f>
        <v>0</v>
      </c>
      <c r="S8" s="2">
        <f>Sheet2!S8*Sheet3!$B$28</f>
        <v>0</v>
      </c>
      <c r="T8" s="2">
        <f>Sheet2!T8*Sheet3!$B$22</f>
        <v>0</v>
      </c>
      <c r="U8" s="2">
        <f>Sheet2!U8*Sheet3!$B$27</f>
        <v>0</v>
      </c>
      <c r="V8" s="2">
        <f>Sheet2!V8*Sheet3!$B$24</f>
        <v>48</v>
      </c>
      <c r="W8" s="2">
        <f>Sheet2!W8*Sheet3!$B$8</f>
        <v>2880</v>
      </c>
      <c r="X8" s="2">
        <f>Sheet2!X8*Sheet3!$B$9</f>
        <v>96</v>
      </c>
      <c r="Y8" s="2">
        <f>Sheet2!Y8*Sheet3!$B$18</f>
        <v>90</v>
      </c>
      <c r="Z8" s="2">
        <f>Sheet2!Z8*Sheet3!$B$26</f>
        <v>0</v>
      </c>
      <c r="AA8" s="2">
        <f>Sheet2!AA8*Sheet3!$B$19</f>
        <v>0</v>
      </c>
      <c r="AB8" s="2">
        <f>Sheet2!AB8*Sheet3!$B$29</f>
        <v>0</v>
      </c>
      <c r="AC8" s="2">
        <v>2412</v>
      </c>
    </row>
    <row r="9" spans="1:29" x14ac:dyDescent="0.75">
      <c r="A9" t="s">
        <v>36</v>
      </c>
      <c r="B9" s="2">
        <f>Sheet2!B9*Sheet3!$B$23</f>
        <v>2136</v>
      </c>
      <c r="C9" s="2">
        <f>Sheet2!C9*Sheet3!$B$15</f>
        <v>8</v>
      </c>
      <c r="D9" s="2">
        <f>Sheet2!D9*Sheet3!$B$25</f>
        <v>0</v>
      </c>
      <c r="E9" s="2">
        <f>Sheet2!E9*Sheet3!$B$16</f>
        <v>0</v>
      </c>
      <c r="F9" s="2">
        <f>Sheet2!F9*Sheet3!$B$2</f>
        <v>966</v>
      </c>
      <c r="G9" s="2">
        <f>Sheet2!G9*Sheet3!$B$4</f>
        <v>0</v>
      </c>
      <c r="H9" s="2">
        <f>Sheet2!H9*Sheet3!$B$7</f>
        <v>904</v>
      </c>
      <c r="I9" s="2">
        <f>Sheet2!I9*Sheet3!$B$5</f>
        <v>30</v>
      </c>
      <c r="J9" s="2">
        <f>Sheet2!J9*Sheet3!$B$6</f>
        <v>0</v>
      </c>
      <c r="K9" s="2">
        <f>Sheet2!K9*Sheet3!$B$10</f>
        <v>20</v>
      </c>
      <c r="L9" s="2">
        <f>Sheet2!L9*Sheet3!$B$13</f>
        <v>36</v>
      </c>
      <c r="M9" s="2">
        <f>Sheet2!M9*Sheet3!$B$11</f>
        <v>0</v>
      </c>
      <c r="N9" s="2">
        <f>Sheet2!N9*Sheet3!$B$14</f>
        <v>72</v>
      </c>
      <c r="O9" s="2">
        <f>Sheet2!O9*Sheet3!$B$12</f>
        <v>295</v>
      </c>
      <c r="P9" s="2">
        <f>Sheet2!P9*Sheet3!$B$20</f>
        <v>18</v>
      </c>
      <c r="Q9" s="2">
        <f>Sheet2!Q9*Sheet3!$B$3</f>
        <v>0</v>
      </c>
      <c r="R9" s="2">
        <f>Sheet2!R9*Sheet3!$B$21</f>
        <v>0</v>
      </c>
      <c r="S9" s="2">
        <f>Sheet2!S9*Sheet3!$B$28</f>
        <v>0</v>
      </c>
      <c r="T9" s="2">
        <f>Sheet2!T9*Sheet3!$B$22</f>
        <v>0</v>
      </c>
      <c r="U9" s="2">
        <f>Sheet2!U9*Sheet3!$B$27</f>
        <v>0</v>
      </c>
      <c r="V9" s="2">
        <f>Sheet2!V9*Sheet3!$B$24</f>
        <v>8</v>
      </c>
      <c r="W9" s="2">
        <f>Sheet2!W9*Sheet3!$B$8</f>
        <v>360</v>
      </c>
      <c r="X9" s="2">
        <f>Sheet2!X9*Sheet3!$B$9</f>
        <v>0</v>
      </c>
      <c r="Y9" s="2">
        <f>Sheet2!Y9*Sheet3!$B$18</f>
        <v>20</v>
      </c>
      <c r="Z9" s="2">
        <f>Sheet2!Z9*Sheet3!$B$26</f>
        <v>0</v>
      </c>
      <c r="AA9" s="2">
        <f>Sheet2!AA9*Sheet3!$B$19</f>
        <v>4</v>
      </c>
      <c r="AB9" s="2">
        <f>Sheet2!AB9*Sheet3!$B$29</f>
        <v>0</v>
      </c>
      <c r="AC9" s="2">
        <v>910</v>
      </c>
    </row>
    <row r="10" spans="1:29" x14ac:dyDescent="0.75">
      <c r="A10" t="s">
        <v>37</v>
      </c>
      <c r="B10" s="2">
        <f>Sheet2!B10*Sheet3!$B$23</f>
        <v>20544</v>
      </c>
      <c r="C10" s="2">
        <f>Sheet2!C10*Sheet3!$B$15</f>
        <v>0</v>
      </c>
      <c r="D10" s="2">
        <f>Sheet2!D10*Sheet3!$B$25</f>
        <v>0</v>
      </c>
      <c r="E10" s="2">
        <f>Sheet2!E10*Sheet3!$B$16</f>
        <v>0</v>
      </c>
      <c r="F10" s="2">
        <f>Sheet2!F10*Sheet3!$B$2</f>
        <v>11676</v>
      </c>
      <c r="G10" s="2">
        <f>Sheet2!G10*Sheet3!$B$4</f>
        <v>216</v>
      </c>
      <c r="H10" s="2">
        <f>Sheet2!H10*Sheet3!$B$7</f>
        <v>3072</v>
      </c>
      <c r="I10" s="2">
        <f>Sheet2!I10*Sheet3!$B$5</f>
        <v>0</v>
      </c>
      <c r="J10" s="2">
        <f>Sheet2!J10*Sheet3!$B$6</f>
        <v>0</v>
      </c>
      <c r="K10" s="2">
        <f>Sheet2!K10*Sheet3!$B$10</f>
        <v>0</v>
      </c>
      <c r="L10" s="2">
        <f>Sheet2!L10*Sheet3!$B$13</f>
        <v>1296</v>
      </c>
      <c r="M10" s="2">
        <f>Sheet2!M10*Sheet3!$B$11</f>
        <v>0</v>
      </c>
      <c r="N10" s="2">
        <f>Sheet2!N10*Sheet3!$B$14</f>
        <v>912</v>
      </c>
      <c r="O10" s="2">
        <f>Sheet2!O10*Sheet3!$B$12</f>
        <v>48</v>
      </c>
      <c r="P10" s="2">
        <f>Sheet2!P10*Sheet3!$B$20</f>
        <v>144</v>
      </c>
      <c r="Q10" s="2">
        <f>Sheet2!Q10*Sheet3!$B$3</f>
        <v>0</v>
      </c>
      <c r="R10" s="2">
        <f>Sheet2!R10*Sheet3!$B$21</f>
        <v>0</v>
      </c>
      <c r="S10" s="2">
        <f>Sheet2!S10*Sheet3!$B$28</f>
        <v>48</v>
      </c>
      <c r="T10" s="2">
        <f>Sheet2!T10*Sheet3!$B$22</f>
        <v>0</v>
      </c>
      <c r="U10" s="2">
        <f>Sheet2!U10*Sheet3!$B$27</f>
        <v>0</v>
      </c>
      <c r="V10" s="2">
        <f>Sheet2!V10*Sheet3!$B$24</f>
        <v>96</v>
      </c>
      <c r="W10" s="2">
        <f>Sheet2!W10*Sheet3!$B$8</f>
        <v>2304</v>
      </c>
      <c r="X10" s="2">
        <f>Sheet2!X10*Sheet3!$B$9</f>
        <v>96</v>
      </c>
      <c r="Y10" s="2">
        <f>Sheet2!Y10*Sheet3!$B$18</f>
        <v>0</v>
      </c>
      <c r="Z10" s="2">
        <f>Sheet2!Z10*Sheet3!$B$26</f>
        <v>0</v>
      </c>
      <c r="AA10" s="2">
        <f>Sheet2!AA10*Sheet3!$B$19</f>
        <v>0</v>
      </c>
      <c r="AB10" s="2">
        <f>Sheet2!AB10*Sheet3!$B$29</f>
        <v>0</v>
      </c>
      <c r="AC10" s="2">
        <v>5652</v>
      </c>
    </row>
    <row r="11" spans="1:29" x14ac:dyDescent="0.75">
      <c r="A11" t="s">
        <v>38</v>
      </c>
      <c r="B11" s="2">
        <f>Sheet2!B11*Sheet3!$B$23</f>
        <v>2368</v>
      </c>
      <c r="C11" s="2">
        <f>Sheet2!C11*Sheet3!$B$15</f>
        <v>0</v>
      </c>
      <c r="D11" s="2">
        <f>Sheet2!D11*Sheet3!$B$25</f>
        <v>48</v>
      </c>
      <c r="E11" s="2">
        <f>Sheet2!E11*Sheet3!$B$16</f>
        <v>0</v>
      </c>
      <c r="F11" s="2">
        <f>Sheet2!F11*Sheet3!$B$2</f>
        <v>12432</v>
      </c>
      <c r="G11" s="2">
        <f>Sheet2!G11*Sheet3!$B$4</f>
        <v>96</v>
      </c>
      <c r="H11" s="2">
        <f>Sheet2!H11*Sheet3!$B$7</f>
        <v>1344</v>
      </c>
      <c r="I11" s="2">
        <f>Sheet2!I11*Sheet3!$B$5</f>
        <v>48</v>
      </c>
      <c r="J11" s="2">
        <f>Sheet2!J11*Sheet3!$B$6</f>
        <v>0</v>
      </c>
      <c r="K11" s="2">
        <f>Sheet2!K11*Sheet3!$B$10</f>
        <v>0</v>
      </c>
      <c r="L11" s="2">
        <f>Sheet2!L11*Sheet3!$B$13</f>
        <v>0</v>
      </c>
      <c r="M11" s="2">
        <f>Sheet2!M11*Sheet3!$B$11</f>
        <v>0</v>
      </c>
      <c r="N11" s="2">
        <f>Sheet2!N11*Sheet3!$B$14</f>
        <v>928</v>
      </c>
      <c r="O11" s="2">
        <f>Sheet2!O11*Sheet3!$B$12</f>
        <v>152</v>
      </c>
      <c r="P11" s="2">
        <f>Sheet2!P11*Sheet3!$B$20</f>
        <v>48</v>
      </c>
      <c r="Q11" s="2">
        <f>Sheet2!Q11*Sheet3!$B$3</f>
        <v>0</v>
      </c>
      <c r="R11" s="2">
        <f>Sheet2!R11*Sheet3!$B$21</f>
        <v>0</v>
      </c>
      <c r="S11" s="2">
        <f>Sheet2!S11*Sheet3!$B$28</f>
        <v>0</v>
      </c>
      <c r="T11" s="2">
        <f>Sheet2!T11*Sheet3!$B$22</f>
        <v>0</v>
      </c>
      <c r="U11" s="2">
        <f>Sheet2!U11*Sheet3!$B$27</f>
        <v>0</v>
      </c>
      <c r="V11" s="2">
        <f>Sheet2!V11*Sheet3!$B$24</f>
        <v>0</v>
      </c>
      <c r="W11" s="2">
        <f>Sheet2!W11*Sheet3!$B$8</f>
        <v>704</v>
      </c>
      <c r="X11" s="2">
        <f>Sheet2!X11*Sheet3!$B$9</f>
        <v>128</v>
      </c>
      <c r="Y11" s="2">
        <f>Sheet2!Y11*Sheet3!$B$18</f>
        <v>0</v>
      </c>
      <c r="Z11" s="2">
        <f>Sheet2!Z11*Sheet3!$B$26</f>
        <v>0</v>
      </c>
      <c r="AA11" s="2">
        <f>Sheet2!AA11*Sheet3!$B$19</f>
        <v>32</v>
      </c>
      <c r="AB11" s="2">
        <f>Sheet2!AB11*Sheet3!$B$29</f>
        <v>0</v>
      </c>
      <c r="AC11" s="2">
        <v>2792</v>
      </c>
    </row>
    <row r="12" spans="1:29" x14ac:dyDescent="0.75">
      <c r="A12" t="s">
        <v>39</v>
      </c>
      <c r="B12" s="2">
        <f>Sheet2!B12*Sheet3!$B$23</f>
        <v>10880</v>
      </c>
      <c r="C12" s="2">
        <f>Sheet2!C12*Sheet3!$B$15</f>
        <v>0</v>
      </c>
      <c r="D12" s="2">
        <f>Sheet2!D12*Sheet3!$B$25</f>
        <v>0</v>
      </c>
      <c r="E12" s="2">
        <f>Sheet2!E12*Sheet3!$B$16</f>
        <v>48</v>
      </c>
      <c r="F12" s="2">
        <f>Sheet2!F12*Sheet3!$B$2</f>
        <v>4144</v>
      </c>
      <c r="G12" s="2">
        <f>Sheet2!G12*Sheet3!$B$4</f>
        <v>144</v>
      </c>
      <c r="H12" s="2">
        <f>Sheet2!H12*Sheet3!$B$7</f>
        <v>1728</v>
      </c>
      <c r="I12" s="2">
        <f>Sheet2!I12*Sheet3!$B$5</f>
        <v>192</v>
      </c>
      <c r="J12" s="2">
        <f>Sheet2!J12*Sheet3!$B$6</f>
        <v>128</v>
      </c>
      <c r="K12" s="2">
        <f>Sheet2!K12*Sheet3!$B$10</f>
        <v>120</v>
      </c>
      <c r="L12" s="2">
        <f>Sheet2!L12*Sheet3!$B$13</f>
        <v>64</v>
      </c>
      <c r="M12" s="2">
        <f>Sheet2!M12*Sheet3!$B$11</f>
        <v>0</v>
      </c>
      <c r="N12" s="2">
        <f>Sheet2!N12*Sheet3!$B$14</f>
        <v>416</v>
      </c>
      <c r="O12" s="2">
        <f>Sheet2!O12*Sheet3!$B$12</f>
        <v>216</v>
      </c>
      <c r="P12" s="2">
        <f>Sheet2!P12*Sheet3!$B$20</f>
        <v>384</v>
      </c>
      <c r="Q12" s="2">
        <f>Sheet2!Q12*Sheet3!$B$3</f>
        <v>56</v>
      </c>
      <c r="R12" s="2">
        <f>Sheet2!R12*Sheet3!$B$21</f>
        <v>32</v>
      </c>
      <c r="S12" s="2">
        <f>Sheet2!S12*Sheet3!$B$28</f>
        <v>0</v>
      </c>
      <c r="T12" s="2">
        <f>Sheet2!T12*Sheet3!$B$22</f>
        <v>0</v>
      </c>
      <c r="U12" s="2">
        <f>Sheet2!U12*Sheet3!$B$27</f>
        <v>0</v>
      </c>
      <c r="V12" s="2">
        <f>Sheet2!V12*Sheet3!$B$24</f>
        <v>320</v>
      </c>
      <c r="W12" s="2">
        <f>Sheet2!W12*Sheet3!$B$8</f>
        <v>1856</v>
      </c>
      <c r="X12" s="2">
        <f>Sheet2!X12*Sheet3!$B$9</f>
        <v>0</v>
      </c>
      <c r="Y12" s="2">
        <f>Sheet2!Y12*Sheet3!$B$18</f>
        <v>0</v>
      </c>
      <c r="Z12" s="2">
        <f>Sheet2!Z12*Sheet3!$B$26</f>
        <v>0</v>
      </c>
      <c r="AA12" s="2">
        <f>Sheet2!AA12*Sheet3!$B$19</f>
        <v>0</v>
      </c>
      <c r="AB12" s="2">
        <f>Sheet2!AB12*Sheet3!$B$29</f>
        <v>0</v>
      </c>
      <c r="AC12" s="2">
        <v>3096</v>
      </c>
    </row>
    <row r="13" spans="1:29" x14ac:dyDescent="0.75">
      <c r="A13" t="s">
        <v>40</v>
      </c>
      <c r="B13" s="2">
        <f>Sheet2!B13*Sheet3!$B$23</f>
        <v>768</v>
      </c>
      <c r="C13" s="2">
        <f>Sheet2!C13*Sheet3!$B$15</f>
        <v>0</v>
      </c>
      <c r="D13" s="2">
        <f>Sheet2!D13*Sheet3!$B$25</f>
        <v>36</v>
      </c>
      <c r="E13" s="2">
        <f>Sheet2!E13*Sheet3!$B$16</f>
        <v>0</v>
      </c>
      <c r="F13" s="2">
        <f>Sheet2!F13*Sheet3!$B$2</f>
        <v>840</v>
      </c>
      <c r="G13" s="2">
        <f>Sheet2!G13*Sheet3!$B$4</f>
        <v>36</v>
      </c>
      <c r="H13" s="2">
        <f>Sheet2!H13*Sheet3!$B$7</f>
        <v>4848</v>
      </c>
      <c r="I13" s="2">
        <f>Sheet2!I13*Sheet3!$B$5</f>
        <v>360</v>
      </c>
      <c r="J13" s="2">
        <f>Sheet2!J13*Sheet3!$B$6</f>
        <v>192</v>
      </c>
      <c r="K13" s="2">
        <f>Sheet2!K13*Sheet3!$B$10</f>
        <v>0</v>
      </c>
      <c r="L13" s="2">
        <f>Sheet2!L13*Sheet3!$B$13</f>
        <v>456</v>
      </c>
      <c r="M13" s="2">
        <f>Sheet2!M13*Sheet3!$B$11</f>
        <v>0</v>
      </c>
      <c r="N13" s="2">
        <f>Sheet2!N13*Sheet3!$B$14</f>
        <v>48</v>
      </c>
      <c r="O13" s="2">
        <f>Sheet2!O13*Sheet3!$B$12</f>
        <v>30</v>
      </c>
      <c r="P13" s="2">
        <f>Sheet2!P13*Sheet3!$B$20</f>
        <v>48</v>
      </c>
      <c r="Q13" s="2">
        <f>Sheet2!Q13*Sheet3!$B$3</f>
        <v>0</v>
      </c>
      <c r="R13" s="2">
        <f>Sheet2!R13*Sheet3!$B$21</f>
        <v>0</v>
      </c>
      <c r="S13" s="2">
        <f>Sheet2!S13*Sheet3!$B$28</f>
        <v>0</v>
      </c>
      <c r="T13" s="2">
        <f>Sheet2!T13*Sheet3!$B$22</f>
        <v>0</v>
      </c>
      <c r="U13" s="2">
        <f>Sheet2!U13*Sheet3!$B$27</f>
        <v>0</v>
      </c>
      <c r="V13" s="2">
        <f>Sheet2!V13*Sheet3!$B$24</f>
        <v>336</v>
      </c>
      <c r="W13" s="2">
        <f>Sheet2!W13*Sheet3!$B$8</f>
        <v>912</v>
      </c>
      <c r="X13" s="2">
        <f>Sheet2!X13*Sheet3!$B$9</f>
        <v>96</v>
      </c>
      <c r="Y13" s="2">
        <f>Sheet2!Y13*Sheet3!$B$18</f>
        <v>0</v>
      </c>
      <c r="Z13" s="2">
        <f>Sheet2!Z13*Sheet3!$B$26</f>
        <v>0</v>
      </c>
      <c r="AA13" s="2">
        <f>Sheet2!AA13*Sheet3!$B$19</f>
        <v>0</v>
      </c>
      <c r="AB13" s="2">
        <f>Sheet2!AB13*Sheet3!$B$29</f>
        <v>0</v>
      </c>
      <c r="AC13" s="2">
        <v>1266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BB5C2-EE7E-44E7-9A62-130543C6DF39}">
  <dimension ref="A1:AC13"/>
  <sheetViews>
    <sheetView workbookViewId="0">
      <selection activeCell="T10" sqref="T10"/>
    </sheetView>
  </sheetViews>
  <sheetFormatPr defaultRowHeight="14.75" x14ac:dyDescent="0.75"/>
  <cols>
    <col min="2" max="2" width="11.2265625" bestFit="1" customWidth="1"/>
    <col min="3" max="3" width="9.1796875" bestFit="1" customWidth="1"/>
    <col min="4" max="4" width="11.36328125" bestFit="1" customWidth="1"/>
    <col min="5" max="5" width="12.453125" bestFit="1" customWidth="1"/>
    <col min="6" max="6" width="10.81640625" bestFit="1" customWidth="1"/>
    <col min="7" max="7" width="11.5" bestFit="1" customWidth="1"/>
    <col min="8" max="8" width="13.26953125" bestFit="1" customWidth="1"/>
    <col min="9" max="9" width="15.86328125" bestFit="1" customWidth="1"/>
    <col min="10" max="10" width="11.90625" bestFit="1" customWidth="1"/>
    <col min="11" max="11" width="10.81640625" bestFit="1" customWidth="1"/>
    <col min="12" max="12" width="12.7265625" bestFit="1" customWidth="1"/>
    <col min="13" max="13" width="9.86328125" bestFit="1" customWidth="1"/>
    <col min="14" max="14" width="13.54296875" bestFit="1" customWidth="1"/>
    <col min="15" max="15" width="14.90625" bestFit="1" customWidth="1"/>
    <col min="16" max="16" width="14.76953125" bestFit="1" customWidth="1"/>
    <col min="18" max="18" width="15.1796875" bestFit="1" customWidth="1"/>
    <col min="20" max="20" width="11.36328125" bestFit="1" customWidth="1"/>
    <col min="21" max="21" width="14.08984375" bestFit="1" customWidth="1"/>
    <col min="22" max="23" width="9.7265625" bestFit="1" customWidth="1"/>
    <col min="24" max="24" width="9.58984375" bestFit="1" customWidth="1"/>
    <col min="25" max="25" width="11.08984375" bestFit="1" customWidth="1"/>
    <col min="26" max="26" width="19.54296875" bestFit="1" customWidth="1"/>
    <col min="27" max="27" width="12.04296875" bestFit="1" customWidth="1"/>
    <col min="28" max="28" width="11.2265625" bestFit="1" customWidth="1"/>
  </cols>
  <sheetData>
    <row r="1" spans="1:29" ht="16" x14ac:dyDescent="0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75">
      <c r="A2" t="s">
        <v>29</v>
      </c>
      <c r="B2" s="2">
        <v>520</v>
      </c>
      <c r="C2" s="2">
        <v>0</v>
      </c>
      <c r="D2" s="2">
        <v>8</v>
      </c>
      <c r="E2" s="2">
        <v>8</v>
      </c>
      <c r="F2" s="2">
        <v>1232</v>
      </c>
      <c r="G2" s="2">
        <v>16</v>
      </c>
      <c r="H2" s="2">
        <v>168</v>
      </c>
      <c r="I2" s="2">
        <v>8</v>
      </c>
      <c r="J2" s="2">
        <v>0</v>
      </c>
      <c r="K2" s="2">
        <v>40</v>
      </c>
      <c r="L2" s="2">
        <v>144</v>
      </c>
      <c r="M2" s="2">
        <v>0</v>
      </c>
      <c r="N2" s="2">
        <v>128</v>
      </c>
      <c r="O2" s="2">
        <v>104</v>
      </c>
      <c r="P2" s="2">
        <v>48</v>
      </c>
      <c r="Q2" s="2">
        <v>0</v>
      </c>
      <c r="R2" s="2">
        <v>0</v>
      </c>
      <c r="S2" s="2">
        <v>0</v>
      </c>
      <c r="T2" s="2">
        <v>8</v>
      </c>
      <c r="U2" s="2">
        <v>8</v>
      </c>
      <c r="V2" s="2">
        <v>8</v>
      </c>
      <c r="W2" s="2">
        <v>280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2728</v>
      </c>
    </row>
    <row r="3" spans="1:29" x14ac:dyDescent="0.75">
      <c r="A3" t="s">
        <v>30</v>
      </c>
      <c r="B3" s="2">
        <v>168</v>
      </c>
      <c r="C3" s="2">
        <v>0</v>
      </c>
      <c r="D3" s="2">
        <v>0</v>
      </c>
      <c r="E3" s="2">
        <v>0</v>
      </c>
      <c r="F3" s="2">
        <v>354</v>
      </c>
      <c r="G3" s="2">
        <v>0</v>
      </c>
      <c r="H3" s="2">
        <v>54</v>
      </c>
      <c r="I3" s="2">
        <v>0</v>
      </c>
      <c r="J3" s="2">
        <v>0</v>
      </c>
      <c r="K3" s="2">
        <v>3</v>
      </c>
      <c r="L3" s="2">
        <v>3</v>
      </c>
      <c r="M3" s="2">
        <v>0</v>
      </c>
      <c r="N3" s="2">
        <v>57</v>
      </c>
      <c r="O3" s="2">
        <v>18</v>
      </c>
      <c r="P3" s="2">
        <v>3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66</v>
      </c>
      <c r="X3" s="2">
        <v>0</v>
      </c>
      <c r="Y3" s="2">
        <v>6</v>
      </c>
      <c r="Z3" s="2">
        <v>3</v>
      </c>
      <c r="AA3" s="2">
        <v>3</v>
      </c>
      <c r="AB3" s="2">
        <v>0</v>
      </c>
      <c r="AC3" s="2">
        <v>738</v>
      </c>
    </row>
    <row r="4" spans="1:29" x14ac:dyDescent="0.75">
      <c r="A4" t="s">
        <v>31</v>
      </c>
      <c r="B4" s="2">
        <v>552</v>
      </c>
      <c r="C4" s="2">
        <v>0</v>
      </c>
      <c r="D4" s="2">
        <v>0</v>
      </c>
      <c r="E4" s="2">
        <v>0</v>
      </c>
      <c r="F4" s="2">
        <v>12</v>
      </c>
      <c r="G4" s="2">
        <v>0</v>
      </c>
      <c r="H4" s="2">
        <v>76</v>
      </c>
      <c r="I4" s="2">
        <v>4</v>
      </c>
      <c r="J4" s="2">
        <v>0</v>
      </c>
      <c r="K4" s="2">
        <v>4</v>
      </c>
      <c r="L4" s="2">
        <v>0</v>
      </c>
      <c r="M4" s="2">
        <v>0</v>
      </c>
      <c r="N4" s="2">
        <v>0</v>
      </c>
      <c r="O4" s="2">
        <v>4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228</v>
      </c>
      <c r="X4" s="2">
        <v>12</v>
      </c>
      <c r="Y4" s="2">
        <v>0</v>
      </c>
      <c r="Z4" s="2">
        <v>0</v>
      </c>
      <c r="AA4" s="2">
        <v>0</v>
      </c>
      <c r="AB4" s="2">
        <v>4</v>
      </c>
      <c r="AC4" s="2">
        <v>896</v>
      </c>
    </row>
    <row r="5" spans="1:29" x14ac:dyDescent="0.75">
      <c r="A5" t="s">
        <v>32</v>
      </c>
      <c r="B5" s="2">
        <v>168</v>
      </c>
      <c r="C5" s="2">
        <v>0</v>
      </c>
      <c r="D5" s="2">
        <v>0</v>
      </c>
      <c r="E5" s="2">
        <v>0</v>
      </c>
      <c r="F5" s="2">
        <v>489.59999999999997</v>
      </c>
      <c r="G5" s="2">
        <v>4.8000000000000007</v>
      </c>
      <c r="H5" s="2">
        <v>144</v>
      </c>
      <c r="I5" s="2">
        <v>4.8000000000000007</v>
      </c>
      <c r="J5" s="2">
        <v>0</v>
      </c>
      <c r="K5" s="2">
        <v>0</v>
      </c>
      <c r="L5" s="2">
        <v>0</v>
      </c>
      <c r="M5" s="2">
        <v>0</v>
      </c>
      <c r="N5" s="2">
        <v>9.6000000000000014</v>
      </c>
      <c r="O5" s="2">
        <v>19.200000000000003</v>
      </c>
      <c r="P5" s="2">
        <v>9.6000000000000014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163.19999999999999</v>
      </c>
      <c r="X5" s="2">
        <v>4.8000000000000007</v>
      </c>
      <c r="Y5" s="2">
        <v>0</v>
      </c>
      <c r="Z5" s="2">
        <v>0</v>
      </c>
      <c r="AA5" s="2">
        <v>0</v>
      </c>
      <c r="AB5" s="2">
        <v>0</v>
      </c>
      <c r="AC5" s="2">
        <v>1017.5999999999999</v>
      </c>
    </row>
    <row r="6" spans="1:29" x14ac:dyDescent="0.75">
      <c r="A6" t="s">
        <v>33</v>
      </c>
      <c r="B6" s="2">
        <v>174</v>
      </c>
      <c r="C6" s="2">
        <v>0</v>
      </c>
      <c r="D6" s="2">
        <v>0</v>
      </c>
      <c r="E6" s="2">
        <v>18</v>
      </c>
      <c r="F6" s="2">
        <v>174</v>
      </c>
      <c r="G6" s="2">
        <v>0</v>
      </c>
      <c r="H6" s="2">
        <v>330</v>
      </c>
      <c r="I6" s="2">
        <v>0</v>
      </c>
      <c r="J6" s="2">
        <v>0</v>
      </c>
      <c r="K6" s="2">
        <v>6</v>
      </c>
      <c r="L6" s="2">
        <v>0</v>
      </c>
      <c r="M6" s="2">
        <v>24</v>
      </c>
      <c r="N6" s="2">
        <v>42</v>
      </c>
      <c r="O6" s="2">
        <v>432</v>
      </c>
      <c r="P6" s="2">
        <v>108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6</v>
      </c>
      <c r="W6" s="2">
        <v>288</v>
      </c>
      <c r="X6" s="2">
        <v>0</v>
      </c>
      <c r="Y6" s="2">
        <v>18</v>
      </c>
      <c r="Z6" s="2">
        <v>0</v>
      </c>
      <c r="AA6" s="2">
        <v>0</v>
      </c>
      <c r="AB6" s="2">
        <v>0</v>
      </c>
      <c r="AC6" s="2">
        <v>1620</v>
      </c>
    </row>
    <row r="7" spans="1:29" x14ac:dyDescent="0.75">
      <c r="A7" t="s">
        <v>34</v>
      </c>
      <c r="B7" s="2">
        <v>116</v>
      </c>
      <c r="C7" s="2">
        <v>0</v>
      </c>
      <c r="D7" s="2">
        <v>0</v>
      </c>
      <c r="E7" s="2">
        <v>4</v>
      </c>
      <c r="F7" s="2">
        <v>28</v>
      </c>
      <c r="G7" s="2">
        <v>2</v>
      </c>
      <c r="H7" s="2">
        <v>27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36</v>
      </c>
      <c r="O7" s="2">
        <v>31</v>
      </c>
      <c r="P7" s="2">
        <v>51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1</v>
      </c>
      <c r="W7" s="2">
        <v>15</v>
      </c>
      <c r="X7" s="2">
        <v>3</v>
      </c>
      <c r="Y7" s="2">
        <v>2</v>
      </c>
      <c r="Z7" s="2">
        <v>0</v>
      </c>
      <c r="AA7" s="2">
        <v>0</v>
      </c>
      <c r="AB7" s="2">
        <v>0</v>
      </c>
      <c r="AC7" s="2">
        <v>316</v>
      </c>
    </row>
    <row r="8" spans="1:29" x14ac:dyDescent="0.75">
      <c r="A8" t="s">
        <v>35</v>
      </c>
      <c r="B8" s="2">
        <v>468</v>
      </c>
      <c r="C8" s="2">
        <v>0</v>
      </c>
      <c r="D8" s="2">
        <v>0</v>
      </c>
      <c r="E8" s="2">
        <v>6</v>
      </c>
      <c r="F8" s="2">
        <v>108</v>
      </c>
      <c r="G8" s="2">
        <v>18</v>
      </c>
      <c r="H8" s="2">
        <v>390</v>
      </c>
      <c r="I8" s="2">
        <v>24</v>
      </c>
      <c r="J8" s="2">
        <v>0</v>
      </c>
      <c r="K8" s="2">
        <v>0</v>
      </c>
      <c r="L8" s="2">
        <v>0</v>
      </c>
      <c r="M8" s="2">
        <v>0</v>
      </c>
      <c r="N8" s="2">
        <v>348</v>
      </c>
      <c r="O8" s="2">
        <v>648</v>
      </c>
      <c r="P8" s="2">
        <v>6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6</v>
      </c>
      <c r="W8" s="2">
        <v>360</v>
      </c>
      <c r="X8" s="2">
        <v>12</v>
      </c>
      <c r="Y8" s="2">
        <v>18</v>
      </c>
      <c r="Z8" s="2">
        <v>0</v>
      </c>
      <c r="AA8" s="2">
        <v>0</v>
      </c>
      <c r="AB8" s="2">
        <v>0</v>
      </c>
      <c r="AC8" s="2">
        <v>2412</v>
      </c>
    </row>
    <row r="9" spans="1:29" x14ac:dyDescent="0.75">
      <c r="A9" t="s">
        <v>36</v>
      </c>
      <c r="B9" s="2">
        <v>267</v>
      </c>
      <c r="C9" s="2">
        <v>1</v>
      </c>
      <c r="D9" s="2">
        <v>0</v>
      </c>
      <c r="E9" s="2">
        <v>0</v>
      </c>
      <c r="F9" s="2">
        <v>138</v>
      </c>
      <c r="G9" s="2">
        <v>0</v>
      </c>
      <c r="H9" s="2">
        <v>113</v>
      </c>
      <c r="I9" s="2">
        <v>5</v>
      </c>
      <c r="J9" s="2">
        <v>0</v>
      </c>
      <c r="K9" s="2">
        <v>4</v>
      </c>
      <c r="L9" s="2">
        <v>9</v>
      </c>
      <c r="M9" s="2">
        <v>0</v>
      </c>
      <c r="N9" s="2">
        <v>18</v>
      </c>
      <c r="O9" s="2">
        <v>295</v>
      </c>
      <c r="P9" s="2">
        <v>9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1</v>
      </c>
      <c r="W9" s="2">
        <v>45</v>
      </c>
      <c r="X9" s="2">
        <v>0</v>
      </c>
      <c r="Y9" s="2">
        <v>4</v>
      </c>
      <c r="Z9" s="2">
        <v>0</v>
      </c>
      <c r="AA9" s="2">
        <v>1</v>
      </c>
      <c r="AB9" s="2">
        <v>0</v>
      </c>
      <c r="AC9" s="2">
        <v>910</v>
      </c>
    </row>
    <row r="10" spans="1:29" x14ac:dyDescent="0.75">
      <c r="A10" t="s">
        <v>37</v>
      </c>
      <c r="B10" s="2">
        <v>2568</v>
      </c>
      <c r="C10" s="2">
        <v>0</v>
      </c>
      <c r="D10" s="2">
        <v>0</v>
      </c>
      <c r="E10" s="2">
        <v>0</v>
      </c>
      <c r="F10" s="2">
        <v>1668</v>
      </c>
      <c r="G10" s="2">
        <v>36</v>
      </c>
      <c r="H10" s="2">
        <v>384</v>
      </c>
      <c r="I10" s="2">
        <v>0</v>
      </c>
      <c r="J10" s="2">
        <v>0</v>
      </c>
      <c r="K10" s="2">
        <v>0</v>
      </c>
      <c r="L10" s="2">
        <v>324</v>
      </c>
      <c r="M10" s="2">
        <v>0</v>
      </c>
      <c r="N10" s="2">
        <v>228</v>
      </c>
      <c r="O10" s="2">
        <v>48</v>
      </c>
      <c r="P10" s="2">
        <v>72</v>
      </c>
      <c r="Q10" s="2">
        <v>0</v>
      </c>
      <c r="R10" s="2">
        <v>0</v>
      </c>
      <c r="S10" s="2">
        <v>12</v>
      </c>
      <c r="T10" s="2">
        <v>0</v>
      </c>
      <c r="U10" s="2">
        <v>0</v>
      </c>
      <c r="V10" s="2">
        <v>12</v>
      </c>
      <c r="W10" s="2">
        <v>288</v>
      </c>
      <c r="X10" s="2">
        <v>12</v>
      </c>
      <c r="Y10" s="2">
        <v>0</v>
      </c>
      <c r="Z10" s="2">
        <v>0</v>
      </c>
      <c r="AA10" s="2">
        <v>0</v>
      </c>
      <c r="AB10" s="2">
        <v>0</v>
      </c>
      <c r="AC10" s="2">
        <v>5652</v>
      </c>
    </row>
    <row r="11" spans="1:29" x14ac:dyDescent="0.75">
      <c r="A11" t="s">
        <v>38</v>
      </c>
      <c r="B11" s="2">
        <v>296</v>
      </c>
      <c r="C11" s="2">
        <v>0</v>
      </c>
      <c r="D11" s="2">
        <v>8</v>
      </c>
      <c r="E11" s="2">
        <v>0</v>
      </c>
      <c r="F11" s="2">
        <v>1776</v>
      </c>
      <c r="G11" s="2">
        <v>16</v>
      </c>
      <c r="H11" s="2">
        <v>168</v>
      </c>
      <c r="I11" s="2">
        <v>8</v>
      </c>
      <c r="J11" s="2">
        <v>0</v>
      </c>
      <c r="K11" s="2">
        <v>0</v>
      </c>
      <c r="L11" s="2">
        <v>0</v>
      </c>
      <c r="M11" s="2">
        <v>0</v>
      </c>
      <c r="N11" s="2">
        <v>232</v>
      </c>
      <c r="O11" s="2">
        <v>152</v>
      </c>
      <c r="P11" s="2">
        <v>24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88</v>
      </c>
      <c r="X11" s="2">
        <v>16</v>
      </c>
      <c r="Y11" s="2">
        <v>0</v>
      </c>
      <c r="Z11" s="2">
        <v>0</v>
      </c>
      <c r="AA11" s="2">
        <v>8</v>
      </c>
      <c r="AB11" s="2">
        <v>0</v>
      </c>
      <c r="AC11" s="2">
        <v>2792</v>
      </c>
    </row>
    <row r="12" spans="1:29" x14ac:dyDescent="0.75">
      <c r="A12" t="s">
        <v>39</v>
      </c>
      <c r="B12" s="2">
        <v>1360</v>
      </c>
      <c r="C12" s="2">
        <v>0</v>
      </c>
      <c r="D12" s="2">
        <v>0</v>
      </c>
      <c r="E12" s="2">
        <v>8</v>
      </c>
      <c r="F12" s="2">
        <v>592</v>
      </c>
      <c r="G12" s="2">
        <v>24</v>
      </c>
      <c r="H12" s="2">
        <v>216</v>
      </c>
      <c r="I12" s="2">
        <v>32</v>
      </c>
      <c r="J12" s="2">
        <v>16</v>
      </c>
      <c r="K12" s="2">
        <v>24</v>
      </c>
      <c r="L12" s="2">
        <v>16</v>
      </c>
      <c r="M12" s="2">
        <v>0</v>
      </c>
      <c r="N12" s="2">
        <v>104</v>
      </c>
      <c r="O12" s="2">
        <v>216</v>
      </c>
      <c r="P12" s="2">
        <v>192</v>
      </c>
      <c r="Q12" s="2">
        <v>8</v>
      </c>
      <c r="R12" s="2">
        <v>16</v>
      </c>
      <c r="S12" s="2">
        <v>0</v>
      </c>
      <c r="T12" s="2">
        <v>0</v>
      </c>
      <c r="U12" s="2">
        <v>0</v>
      </c>
      <c r="V12" s="2">
        <v>40</v>
      </c>
      <c r="W12" s="2">
        <v>232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3096</v>
      </c>
    </row>
    <row r="13" spans="1:29" x14ac:dyDescent="0.75">
      <c r="A13" t="s">
        <v>40</v>
      </c>
      <c r="B13" s="2">
        <v>96</v>
      </c>
      <c r="C13" s="2">
        <v>0</v>
      </c>
      <c r="D13" s="2">
        <v>6</v>
      </c>
      <c r="E13" s="2">
        <v>0</v>
      </c>
      <c r="F13" s="2">
        <v>120</v>
      </c>
      <c r="G13" s="2">
        <v>6</v>
      </c>
      <c r="H13" s="2">
        <v>606</v>
      </c>
      <c r="I13" s="2">
        <v>60</v>
      </c>
      <c r="J13" s="2">
        <v>24</v>
      </c>
      <c r="K13" s="2">
        <v>0</v>
      </c>
      <c r="L13" s="2">
        <v>114</v>
      </c>
      <c r="M13" s="2">
        <v>0</v>
      </c>
      <c r="N13" s="2">
        <v>12</v>
      </c>
      <c r="O13" s="2">
        <v>30</v>
      </c>
      <c r="P13" s="2">
        <v>24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42</v>
      </c>
      <c r="W13" s="2">
        <v>114</v>
      </c>
      <c r="X13" s="2">
        <v>12</v>
      </c>
      <c r="Y13" s="2">
        <v>0</v>
      </c>
      <c r="Z13" s="2">
        <v>0</v>
      </c>
      <c r="AA13" s="2">
        <v>0</v>
      </c>
      <c r="AB13" s="2">
        <v>0</v>
      </c>
      <c r="AC13" s="2">
        <v>1266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F7374-C034-4243-B944-E5CBBB193BF1}">
  <dimension ref="A1:B29"/>
  <sheetViews>
    <sheetView workbookViewId="0">
      <selection activeCell="D23" sqref="D23"/>
    </sheetView>
  </sheetViews>
  <sheetFormatPr defaultRowHeight="14.75" x14ac:dyDescent="0.75"/>
  <cols>
    <col min="1" max="1" width="18.7265625" bestFit="1" customWidth="1"/>
    <col min="2" max="2" width="14.36328125" bestFit="1" customWidth="1"/>
  </cols>
  <sheetData>
    <row r="1" spans="1:2" x14ac:dyDescent="0.75">
      <c r="A1" t="s">
        <v>41</v>
      </c>
      <c r="B1" t="s">
        <v>42</v>
      </c>
    </row>
    <row r="2" spans="1:2" x14ac:dyDescent="0.75">
      <c r="A2" t="s">
        <v>5</v>
      </c>
      <c r="B2" s="3">
        <v>7</v>
      </c>
    </row>
    <row r="3" spans="1:2" x14ac:dyDescent="0.75">
      <c r="A3" t="s">
        <v>16</v>
      </c>
      <c r="B3" s="3">
        <v>7</v>
      </c>
    </row>
    <row r="4" spans="1:2" x14ac:dyDescent="0.75">
      <c r="A4" t="s">
        <v>6</v>
      </c>
      <c r="B4" s="3">
        <v>6</v>
      </c>
    </row>
    <row r="5" spans="1:2" x14ac:dyDescent="0.75">
      <c r="A5" t="s">
        <v>8</v>
      </c>
      <c r="B5" s="3">
        <v>6</v>
      </c>
    </row>
    <row r="6" spans="1:2" x14ac:dyDescent="0.75">
      <c r="A6" t="s">
        <v>9</v>
      </c>
      <c r="B6" s="3">
        <v>8</v>
      </c>
    </row>
    <row r="7" spans="1:2" x14ac:dyDescent="0.75">
      <c r="A7" t="s">
        <v>7</v>
      </c>
      <c r="B7" s="3">
        <v>8</v>
      </c>
    </row>
    <row r="8" spans="1:2" x14ac:dyDescent="0.75">
      <c r="A8" t="s">
        <v>22</v>
      </c>
      <c r="B8" s="3">
        <v>8</v>
      </c>
    </row>
    <row r="9" spans="1:2" x14ac:dyDescent="0.75">
      <c r="A9" t="s">
        <v>23</v>
      </c>
      <c r="B9" s="3">
        <v>8</v>
      </c>
    </row>
    <row r="10" spans="1:2" x14ac:dyDescent="0.75">
      <c r="A10" t="s">
        <v>10</v>
      </c>
      <c r="B10" s="4">
        <v>5</v>
      </c>
    </row>
    <row r="11" spans="1:2" x14ac:dyDescent="0.75">
      <c r="A11" t="s">
        <v>12</v>
      </c>
      <c r="B11" s="3">
        <v>2</v>
      </c>
    </row>
    <row r="12" spans="1:2" x14ac:dyDescent="0.75">
      <c r="A12" t="s">
        <v>14</v>
      </c>
      <c r="B12" s="3">
        <v>1</v>
      </c>
    </row>
    <row r="13" spans="1:2" x14ac:dyDescent="0.75">
      <c r="A13" t="s">
        <v>11</v>
      </c>
      <c r="B13" s="3">
        <v>4</v>
      </c>
    </row>
    <row r="14" spans="1:2" x14ac:dyDescent="0.75">
      <c r="A14" t="s">
        <v>13</v>
      </c>
      <c r="B14" s="3">
        <v>4</v>
      </c>
    </row>
    <row r="15" spans="1:2" x14ac:dyDescent="0.75">
      <c r="A15" t="s">
        <v>2</v>
      </c>
      <c r="B15" s="3">
        <v>8</v>
      </c>
    </row>
    <row r="16" spans="1:2" x14ac:dyDescent="0.75">
      <c r="A16" t="s">
        <v>4</v>
      </c>
      <c r="B16" s="3">
        <v>6</v>
      </c>
    </row>
    <row r="17" spans="1:2" x14ac:dyDescent="0.75">
      <c r="A17" t="s">
        <v>43</v>
      </c>
      <c r="B17" s="3">
        <v>8</v>
      </c>
    </row>
    <row r="18" spans="1:2" x14ac:dyDescent="0.75">
      <c r="A18" t="s">
        <v>24</v>
      </c>
      <c r="B18" s="3">
        <v>5</v>
      </c>
    </row>
    <row r="19" spans="1:2" x14ac:dyDescent="0.75">
      <c r="A19" t="s">
        <v>26</v>
      </c>
      <c r="B19" s="3">
        <v>4</v>
      </c>
    </row>
    <row r="20" spans="1:2" x14ac:dyDescent="0.75">
      <c r="A20" t="s">
        <v>15</v>
      </c>
      <c r="B20" s="3">
        <v>2</v>
      </c>
    </row>
    <row r="21" spans="1:2" x14ac:dyDescent="0.75">
      <c r="A21" t="s">
        <v>17</v>
      </c>
      <c r="B21" s="3">
        <v>2</v>
      </c>
    </row>
    <row r="22" spans="1:2" x14ac:dyDescent="0.75">
      <c r="A22" t="s">
        <v>19</v>
      </c>
      <c r="B22" s="3">
        <v>6</v>
      </c>
    </row>
    <row r="23" spans="1:2" x14ac:dyDescent="0.75">
      <c r="A23" t="s">
        <v>1</v>
      </c>
      <c r="B23" s="3">
        <v>8</v>
      </c>
    </row>
    <row r="24" spans="1:2" x14ac:dyDescent="0.75">
      <c r="A24" t="s">
        <v>21</v>
      </c>
      <c r="B24" s="3">
        <v>8</v>
      </c>
    </row>
    <row r="25" spans="1:2" x14ac:dyDescent="0.75">
      <c r="A25" t="s">
        <v>3</v>
      </c>
      <c r="B25" s="3">
        <v>6</v>
      </c>
    </row>
    <row r="26" spans="1:2" x14ac:dyDescent="0.75">
      <c r="A26" t="s">
        <v>44</v>
      </c>
      <c r="B26" s="3">
        <v>1</v>
      </c>
    </row>
    <row r="27" spans="1:2" x14ac:dyDescent="0.75">
      <c r="A27" t="s">
        <v>20</v>
      </c>
      <c r="B27" s="3">
        <v>0</v>
      </c>
    </row>
    <row r="28" spans="1:2" x14ac:dyDescent="0.75">
      <c r="A28" t="s">
        <v>18</v>
      </c>
      <c r="B28" s="3">
        <v>4</v>
      </c>
    </row>
    <row r="29" spans="1:2" x14ac:dyDescent="0.75">
      <c r="A29" t="s">
        <v>27</v>
      </c>
      <c r="B29" s="5">
        <v>6</v>
      </c>
    </row>
  </sheetData>
  <sortState xmlns:xlrd2="http://schemas.microsoft.com/office/spreadsheetml/2017/richdata2" ref="A2:B29">
    <sortCondition ref="A2:A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Christensen</dc:creator>
  <cp:lastModifiedBy>Claire Christensen</cp:lastModifiedBy>
  <dcterms:created xsi:type="dcterms:W3CDTF">2025-02-25T05:52:54Z</dcterms:created>
  <dcterms:modified xsi:type="dcterms:W3CDTF">2025-02-25T06:43:16Z</dcterms:modified>
</cp:coreProperties>
</file>